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2400\Desktop\10_实习\seerain\20260907_RK3576_Linux\01_References\"/>
    </mc:Choice>
  </mc:AlternateContent>
  <xr:revisionPtr revIDLastSave="0" documentId="13_ncr:1_{E8D3CAF0-6FD7-4F1D-B62F-BB39BD8894C6}" xr6:coauthVersionLast="47" xr6:coauthVersionMax="47" xr10:uidLastSave="{00000000-0000-0000-0000-000000000000}"/>
  <bookViews>
    <workbookView xWindow="38280" yWindow="-4740" windowWidth="38640" windowHeight="21120" xr2:uid="{00000000-000D-0000-FFFF-FFFF00000000}"/>
  </bookViews>
  <sheets>
    <sheet name="资料网站" sheetId="1" r:id="rId1"/>
    <sheet name="快速导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5" i="2" s="1"/>
</calcChain>
</file>

<file path=xl/sharedStrings.xml><?xml version="1.0" encoding="utf-8"?>
<sst xmlns="http://schemas.openxmlformats.org/spreadsheetml/2006/main" count="273" uniqueCount="159">
  <si>
    <t>厂商</t>
  </si>
  <si>
    <t>开发板/系列</t>
  </si>
  <si>
    <t>资料类别</t>
  </si>
  <si>
    <t>资料名称</t>
  </si>
  <si>
    <t>网址</t>
  </si>
  <si>
    <t>用途/说明</t>
  </si>
  <si>
    <t>优先级</t>
  </si>
  <si>
    <t>核对日期</t>
  </si>
  <si>
    <t>立创</t>
  </si>
  <si>
    <t>泰山派3M-RK3576</t>
  </si>
  <si>
    <t>总入口</t>
  </si>
  <si>
    <t>泰山派3M-RK3576 官方文档主页</t>
  </si>
  <si>
    <t>进入泰山派3M全部官方文档、系统、SDK、GPIO、Qt、AI等资料的总入口。</t>
  </si>
  <si>
    <t>★★★★★</t>
  </si>
  <si>
    <t>2026-09-07</t>
  </si>
  <si>
    <t>硬件</t>
  </si>
  <si>
    <t>40Pin排针接口说明</t>
  </si>
  <si>
    <t>查看40Pin物理脚号、GPIO名称及默认/常用功能；核对CAN、UART候选引脚时优先看。</t>
  </si>
  <si>
    <t>开源硬件页面</t>
  </si>
  <si>
    <t>官方开源硬件入口，页面中提供原理图&amp;PCB开源工程链接。</t>
  </si>
  <si>
    <t>原理图&amp;PCB开源工程（立创开源平台）</t>
  </si>
  <si>
    <t>https://oshwhub.com/li-chuang-kai-fa-ban/project_gzzvrwqn</t>
  </si>
  <si>
    <t>在线查看/下载开发板原理图与PCB，用于确认GPIO实际连接、IO电压、板载占用和排针引出。</t>
  </si>
  <si>
    <t>下载</t>
  </si>
  <si>
    <t>资料下载中心</t>
  </si>
  <si>
    <t>镜像、SDK压缩包和其他配套资料的集中入口。</t>
  </si>
  <si>
    <t>系统</t>
  </si>
  <si>
    <t>系统快速使用指南</t>
  </si>
  <si>
    <t>Android14、Ubuntu24、Debian12、Buildroot的快速使用和外设测试入口。</t>
  </si>
  <si>
    <t>★★★★☆</t>
  </si>
  <si>
    <t>Linux SDK</t>
  </si>
  <si>
    <t>获取统一Linux SDK；SDK内包含kernel-6.1、设备树及Ubuntu/Debian/Buildroot配置。</t>
  </si>
  <si>
    <t>Buildroot SDK获取</t>
  </si>
  <si>
    <t>获取Linux SDK并按Buildroot路线编译；适合嵌入式产品化与Qt部署。</t>
  </si>
  <si>
    <t>系统编译</t>
  </si>
  <si>
    <t>Ubuntu24系统开发与编译</t>
  </si>
  <si>
    <t>Ubuntu24 SDK、镜像、内核、屏幕等开发编译入口。</t>
  </si>
  <si>
    <t>Qt/UI</t>
  </si>
  <si>
    <t>Qt 5.15开发指南</t>
  </si>
  <si>
    <t>后续做Linux触控UI时使用，包含Buildroot Qt环境、交叉编译、部署调试。</t>
  </si>
  <si>
    <t>设备树</t>
  </si>
  <si>
    <t>ovtree设备树插件管理工具</t>
  </si>
  <si>
    <t>查看/管理设备树插件，排查GPIO复用和外设占用冲突时有用。</t>
  </si>
  <si>
    <t>模块/扩展</t>
  </si>
  <si>
    <t>泰山派3M模块手册</t>
  </si>
  <si>
    <t>扩展模块、驱动和板级外设移植参考。</t>
  </si>
  <si>
    <t>★★★☆☆</t>
  </si>
  <si>
    <t>野火</t>
  </si>
  <si>
    <t>LubanCat-3 / RK3576</t>
  </si>
  <si>
    <t>LubanCat-RK3576 快速使用手册</t>
  </si>
  <si>
    <t>RK3576板卡总入口；包含GPIO、I2C、SPI、UART、RS232、RS485、CAN、MIPI屏、触摸等。</t>
  </si>
  <si>
    <t>LubanCat-3系列硬件介绍</t>
  </si>
  <si>
    <t>查看LubanCat-3一体板、核心板/底板接口与硬件资源。</t>
  </si>
  <si>
    <t>硬件/下载</t>
  </si>
  <si>
    <t>百度网盘资源介绍</t>
  </si>
  <si>
    <t>官方说明：网盘包含规格书、原理图、尺寸图、装配图、镜像、SDK源码等硬件/软件资料。</t>
  </si>
  <si>
    <t>CAN</t>
  </si>
  <si>
    <t>CAN总线教程</t>
  </si>
  <si>
    <t>CAN/CAN FD接口、收发器接线、设备树插件、SocketCAN测试等；你的CAN需求重点资料。</t>
  </si>
  <si>
    <t>UART</t>
  </si>
  <si>
    <t>串口通讯教程</t>
  </si>
  <si>
    <t>40Pin UART复用、fire-config启用、设备节点与串口收发测试；核对4路串口重点资料。</t>
  </si>
  <si>
    <t>LubanCat-3IO</t>
  </si>
  <si>
    <t>RS232</t>
  </si>
  <si>
    <t>RS232教程</t>
  </si>
  <si>
    <t>LubanCat-3 IO底板RS232接口与UART映射、设备树插件配置。</t>
  </si>
  <si>
    <t>RS485</t>
  </si>
  <si>
    <t>RS485教程</t>
  </si>
  <si>
    <t>LubanCat-3 IO底板RS485接口、UART映射及软/硬件换流配置。</t>
  </si>
  <si>
    <t>配置文件、设备树与Overlay</t>
  </si>
  <si>
    <t>说明rk3576-lubancat-3.dtb、/boot/uEnv配置、设备树插件位置和加载方式。</t>
  </si>
  <si>
    <t>fire-config配置工具</t>
  </si>
  <si>
    <t>用图形/终端工具快速启用UART、SPI、I2C等设备树插件。</t>
  </si>
  <si>
    <t>Linux内核</t>
  </si>
  <si>
    <t>Linux内核源码获取/编译</t>
  </si>
  <si>
    <t>野火适配内核获取与编译教程；RK3576使用6.1内核路线。</t>
  </si>
  <si>
    <t>LubanCat Kernel GitHub</t>
  </si>
  <si>
    <t>野火板级适配Linux 6.1内核源码；可直接搜索rk3576-lubancat-3.dts、pinctrl和驱动。</t>
  </si>
  <si>
    <t>LubanCat-RK系列</t>
  </si>
  <si>
    <t>SDK源码</t>
  </si>
  <si>
    <t>LubanCat manifests GitHub</t>
  </si>
  <si>
    <t>野火RK系列SDK repo/manifests入口，用于同步完整SDK源码。</t>
  </si>
  <si>
    <t>屏幕</t>
  </si>
  <si>
    <t>MIPI屏幕教程</t>
  </si>
  <si>
    <t>MIPI-DSI屏幕启用、设备树Overlay、显示配置；你做触控UI时重点看。</t>
  </si>
  <si>
    <t>触摸/UI</t>
  </si>
  <si>
    <t>屏幕与触摸调试</t>
  </si>
  <si>
    <t>屏幕旋转、触摸方向与显示调试，适合后续凝血仪触控UI。</t>
  </si>
  <si>
    <t>镜像</t>
  </si>
  <si>
    <t>系统镜像烧录</t>
  </si>
  <si>
    <t>Ubuntu/Debian等镜像获取和烧录流程。</t>
  </si>
  <si>
    <t>RK3576开发资料快速导航：立创 vs 野火</t>
  </si>
  <si>
    <t>你要做的事</t>
  </si>
  <si>
    <t>立创优先资料</t>
  </si>
  <si>
    <t>野火优先资料</t>
  </si>
  <si>
    <t>建议先看谁</t>
  </si>
  <si>
    <t>备注</t>
  </si>
  <si>
    <t>核对GPIO/40Pin</t>
  </si>
  <si>
    <t>LubanCat-3硬件介绍 + UART教程</t>
  </si>
  <si>
    <t>都要看</t>
  </si>
  <si>
    <t>先确定物理引脚，再看复用与占用。</t>
  </si>
  <si>
    <t>确认原理图/IO电压</t>
  </si>
  <si>
    <t>原理图&amp;PCB开源工程</t>
  </si>
  <si>
    <t>百度网盘硬件资料（原理图/规格书）</t>
  </si>
  <si>
    <t>最终接收发器前必须核对板级电压与连接。</t>
  </si>
  <si>
    <t>接CAN收发器</t>
  </si>
  <si>
    <t>40Pin + 原理图 + Linux SDK设备树</t>
  </si>
  <si>
    <t>野火有完整CAN/Overlay/SocketCAN教程；立创需更多板级核对。</t>
  </si>
  <si>
    <t>实现4路UART</t>
  </si>
  <si>
    <t>40Pin + SDK pinctrl/设备树</t>
  </si>
  <si>
    <t>串口通讯教程 + fire-config</t>
  </si>
  <si>
    <t>野火教程对多路UART复用和启用更直接。</t>
  </si>
  <si>
    <t>修改Linux设备树</t>
  </si>
  <si>
    <t>Ubuntu/Buildroot SDK + ovtree</t>
  </si>
  <si>
    <t>设备树与Overlay + Kernel源码</t>
  </si>
  <si>
    <t>两家均可，野火Overlay说明更集中。</t>
  </si>
  <si>
    <t>做MIPI触控屏</t>
  </si>
  <si>
    <t>系统快速使用 + SDK屏幕配置</t>
  </si>
  <si>
    <t>MIPI屏幕 + 屏幕与触摸调试</t>
  </si>
  <si>
    <t>野火对屏幕、触摸和旋转的教程更系统。</t>
  </si>
  <si>
    <t>做Qt/Linux UI</t>
  </si>
  <si>
    <t>野火Qt教材（从资料网盘/在线文档进入）</t>
  </si>
  <si>
    <t>都可</t>
  </si>
  <si>
    <t>立创当前Qt 5.15 Buildroot路线文档很直接。</t>
  </si>
  <si>
    <t>统计</t>
  </si>
  <si>
    <t>数量</t>
  </si>
  <si>
    <t>立创资料链接</t>
  </si>
  <si>
    <t>野火资料链接</t>
  </si>
  <si>
    <t>合计</t>
  </si>
  <si>
    <t>说明：表中优先收录官方/官方维护资料；网址已按 2026-09-07 检索核对。 后续做CAN、4路串口和触控UI时，建议同时核对芯片TRM、开发板原理图和Linux设备树。</t>
  </si>
  <si>
    <t>https://wiki.lckfb.com/zh-hans/tspi-3-rk3576/</t>
    <phoneticPr fontId="6" type="noConversion"/>
  </si>
  <si>
    <t>https://wiki.lckfb.com/zh-hans/tspi-3-rk3576/system-development-compilation/ubuntu24/sdk-setup.html</t>
    <phoneticPr fontId="6" type="noConversion"/>
  </si>
  <si>
    <t>https://wiki.lckfb.com/zh-hans/tspi-3-rk3576/system-development-compilation/buildroot/sdk-setup.html</t>
    <phoneticPr fontId="6" type="noConversion"/>
  </si>
  <si>
    <t>https://wiki.lckfb.com/zh-hans/tspi-3-rk3576/system-development-compilation/ubuntu24/</t>
    <phoneticPr fontId="6" type="noConversion"/>
  </si>
  <si>
    <t>https://wiki.lckfb.com/zh-hans/tspi-3-rk3576/system-development-compilation/qt-5-15/</t>
    <phoneticPr fontId="6" type="noConversion"/>
  </si>
  <si>
    <t>https://wiki.lckfb.com/zh-hans/tspi-3-rk3576/download-center.html</t>
    <phoneticPr fontId="6" type="noConversion"/>
  </si>
  <si>
    <t>https://wiki.lckfb.com/zh-hans/tspi-3-rk3576/system-usage/</t>
    <phoneticPr fontId="6" type="noConversion"/>
  </si>
  <si>
    <t>https://wiki.lckfb.com/zh-hans/tspi-3-rk3576/open-source-hardware/</t>
    <phoneticPr fontId="6" type="noConversion"/>
  </si>
  <si>
    <t>https://wiki.lckfb.com/zh-hans/tspi-3-rk3576/hardware-gpio/taishanpi-3m/v1-0.html</t>
    <phoneticPr fontId="6" type="noConversion"/>
  </si>
  <si>
    <t>https://wiki.lckfb.com/zh-hans/linux-docs-tspi3-rk3576/linux-driver-Basics/kernel-driver-intro/kernel-source-intro.html</t>
    <phoneticPr fontId="6" type="noConversion"/>
  </si>
  <si>
    <r>
      <t>Ubuntu24 SDK</t>
    </r>
    <r>
      <rPr>
        <sz val="11"/>
        <rFont val="微软雅黑"/>
        <family val="2"/>
        <charset val="134"/>
      </rPr>
      <t>获取</t>
    </r>
    <phoneticPr fontId="6" type="noConversion"/>
  </si>
  <si>
    <t>Linux技术文档</t>
    <phoneticPr fontId="6" type="noConversion"/>
  </si>
  <si>
    <t>https://wiki.lckfb.com/zh-hans/tspi-3-rk3576/sys-tool/ovtree.html</t>
    <phoneticPr fontId="6" type="noConversion"/>
  </si>
  <si>
    <t>https://wiki.lckfb.com/zh-hans/tspi-3-rk3576/module-porting/</t>
    <phoneticPr fontId="6" type="noConversion"/>
  </si>
  <si>
    <t>https://doc.embedfire.com/linux/rk3576/quick_start/</t>
    <phoneticPr fontId="6" type="noConversion"/>
  </si>
  <si>
    <t>https://doc.embedfire.com/linux/rk3576/quick_start/zh/latest/doc/lubancat/lubancat3.html</t>
    <phoneticPr fontId="6" type="noConversion"/>
  </si>
  <si>
    <t>https://doc.embedfire.com/linux/rk3576/quick_start/zh/latest/doc/can/can.html</t>
    <phoneticPr fontId="6" type="noConversion"/>
  </si>
  <si>
    <t>https://doc.embedfire.com/linux/rk3576/quick_start/zh/latest/doc/baidu_cloud/baidu_cloud.html</t>
    <phoneticPr fontId="6" type="noConversion"/>
  </si>
  <si>
    <t>https://doc.embedfire.com/linux/rk3576/quick_start/zh/latest/doc/40pin/uart/uart.html</t>
    <phoneticPr fontId="6" type="noConversion"/>
  </si>
  <si>
    <t>https://doc.embedfire.com/linux/rk3576/quick_start/zh/latest/doc/rs232/rs232.html</t>
    <phoneticPr fontId="6" type="noConversion"/>
  </si>
  <si>
    <t>https://doc.embedfire.com/linux/rk3576/quick_start/zh/latest/doc/rs485/rs485.html</t>
    <phoneticPr fontId="6" type="noConversion"/>
  </si>
  <si>
    <t>https://doc.embedfire.com/linux/rk3576/quick_start/zh/latest/doc/fireconfig/fireconfig.html</t>
    <phoneticPr fontId="6" type="noConversion"/>
  </si>
  <si>
    <t>https://doc.embedfire.com/linux/rk3576/quick_start/zh/latest/doc/device_tree/device_tree.html</t>
    <phoneticPr fontId="6" type="noConversion"/>
  </si>
  <si>
    <t>https://doc.embedfire.com/linux/rk356x/build_and_deploy/zh/latest/building_image/building_kernel/building_kernel.html</t>
    <phoneticPr fontId="6" type="noConversion"/>
  </si>
  <si>
    <t>https://github.com/LubanCat/manifests</t>
    <phoneticPr fontId="6" type="noConversion"/>
  </si>
  <si>
    <t>https://github.com/LubanCat/kernel/tree/lbc-develop-6.1</t>
    <phoneticPr fontId="6" type="noConversion"/>
  </si>
  <si>
    <t>https://doc.embedfire.com/linux/rk3576/quick_start/zh/latest/doc/screen_debugging/screen_debugging.html</t>
    <phoneticPr fontId="6" type="noConversion"/>
  </si>
  <si>
    <t>https://doc.embedfire.com/linux/rk3576/quick_start/zh/latest/doc/screen/mipi_dsi.html</t>
    <phoneticPr fontId="6" type="noConversion"/>
  </si>
  <si>
    <t>https://doc.embedfire.com/linux/rk3576/quick_start/zh/latest/doc/flash_img/flash_img.html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</si>
</sst>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i/>
      <sz val="11"/>
      <color rgb="FF4B5563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center" wrapText="1"/>
    </xf>
    <xf numFmtId="0" fontId="7" fillId="0" borderId="0" xfId="2" applyAlignment="1">
      <alignment vertical="top" wrapText="1"/>
    </xf>
    <xf numFmtId="0" fontId="2" fillId="3" borderId="0" xfId="1" applyFont="1" applyFill="1" applyAlignment="1">
      <alignment horizontal="center" vertical="center"/>
    </xf>
    <xf numFmtId="0" fontId="4" fillId="5" borderId="0" xfId="1" applyFont="1" applyFill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3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ourceLinksTable" displayName="ResourceLinksTable" ref="A1:H29" totalsRowShown="0">
  <tableColumns count="8">
    <tableColumn id="1" xr3:uid="{00000000-0010-0000-0000-000001000000}" name="厂商"/>
    <tableColumn id="2" xr3:uid="{00000000-0010-0000-0000-000002000000}" name="开发板/系列"/>
    <tableColumn id="3" xr3:uid="{00000000-0010-0000-0000-000003000000}" name="资料类别"/>
    <tableColumn id="4" xr3:uid="{00000000-0010-0000-0000-000004000000}" name="资料名称"/>
    <tableColumn id="5" xr3:uid="{00000000-0010-0000-0000-000005000000}" name="网址"/>
    <tableColumn id="6" xr3:uid="{00000000-0010-0000-0000-000006000000}" name="用途/说明"/>
    <tableColumn id="7" xr3:uid="{00000000-0010-0000-0000-000007000000}" name="优先级"/>
    <tableColumn id="8" xr3:uid="{00000000-0010-0000-0000-000008000000}" name="核对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ki.lckfb.com/zh-hans/tspi-3-rk3576/open-source-hardware/" TargetMode="External"/><Relationship Id="rId13" Type="http://schemas.openxmlformats.org/officeDocument/2006/relationships/hyperlink" Target="https://doc.embedfire.com/linux/rk3576/quick_start/" TargetMode="External"/><Relationship Id="rId18" Type="http://schemas.openxmlformats.org/officeDocument/2006/relationships/hyperlink" Target="https://doc.embedfire.com/linux/rk3576/quick_start/zh/latest/doc/rs232/rs232.html" TargetMode="External"/><Relationship Id="rId26" Type="http://schemas.openxmlformats.org/officeDocument/2006/relationships/hyperlink" Target="https://doc.embedfire.com/linux/rk3576/quick_start/zh/latest/doc/screen/mipi_dsi.html" TargetMode="External"/><Relationship Id="rId3" Type="http://schemas.openxmlformats.org/officeDocument/2006/relationships/hyperlink" Target="https://wiki.lckfb.com/zh-hans/tspi-3-rk3576/system-development-compilation/buildroot/sdk-setup.html" TargetMode="External"/><Relationship Id="rId21" Type="http://schemas.openxmlformats.org/officeDocument/2006/relationships/hyperlink" Target="https://doc.embedfire.com/linux/rk3576/quick_start/zh/latest/doc/device_tree/device_tree.html" TargetMode="External"/><Relationship Id="rId7" Type="http://schemas.openxmlformats.org/officeDocument/2006/relationships/hyperlink" Target="https://wiki.lckfb.com/zh-hans/tspi-3-rk3576/system-usage/" TargetMode="External"/><Relationship Id="rId12" Type="http://schemas.openxmlformats.org/officeDocument/2006/relationships/hyperlink" Target="https://wiki.lckfb.com/zh-hans/tspi-3-rk3576/module-porting/" TargetMode="External"/><Relationship Id="rId17" Type="http://schemas.openxmlformats.org/officeDocument/2006/relationships/hyperlink" Target="https://doc.embedfire.com/linux/rk3576/quick_start/zh/latest/doc/40pin/uart/uart.html" TargetMode="External"/><Relationship Id="rId25" Type="http://schemas.openxmlformats.org/officeDocument/2006/relationships/hyperlink" Target="https://doc.embedfire.com/linux/rk3576/quick_start/zh/latest/doc/screen_debugging/screen_debugging.html" TargetMode="External"/><Relationship Id="rId2" Type="http://schemas.openxmlformats.org/officeDocument/2006/relationships/hyperlink" Target="https://wiki.lckfb.com/zh-hans/tspi-3-rk3576/system-development-compilation/ubuntu24/sdk-setup.html" TargetMode="External"/><Relationship Id="rId16" Type="http://schemas.openxmlformats.org/officeDocument/2006/relationships/hyperlink" Target="https://doc.embedfire.com/linux/rk3576/quick_start/zh/latest/doc/baidu_cloud/baidu_cloud.html" TargetMode="External"/><Relationship Id="rId20" Type="http://schemas.openxmlformats.org/officeDocument/2006/relationships/hyperlink" Target="https://doc.embedfire.com/linux/rk3576/quick_start/zh/latest/doc/fireconfig/fireconfig.html" TargetMode="External"/><Relationship Id="rId1" Type="http://schemas.openxmlformats.org/officeDocument/2006/relationships/hyperlink" Target="https://wiki.lckfb.com/zh-hans/tspi-3-rk3576/" TargetMode="External"/><Relationship Id="rId6" Type="http://schemas.openxmlformats.org/officeDocument/2006/relationships/hyperlink" Target="https://wiki.lckfb.com/zh-hans/tspi-3-rk3576/download-center.html" TargetMode="External"/><Relationship Id="rId11" Type="http://schemas.openxmlformats.org/officeDocument/2006/relationships/hyperlink" Target="https://wiki.lckfb.com/zh-hans/tspi-3-rk3576/sys-tool/ovtree.html" TargetMode="External"/><Relationship Id="rId24" Type="http://schemas.openxmlformats.org/officeDocument/2006/relationships/hyperlink" Target="https://github.com/LubanCat/kernel/tree/lbc-develop-6.1" TargetMode="External"/><Relationship Id="rId5" Type="http://schemas.openxmlformats.org/officeDocument/2006/relationships/hyperlink" Target="https://wiki.lckfb.com/zh-hans/tspi-3-rk3576/system-development-compilation/qt-5-15/" TargetMode="External"/><Relationship Id="rId15" Type="http://schemas.openxmlformats.org/officeDocument/2006/relationships/hyperlink" Target="https://doc.embedfire.com/linux/rk3576/quick_start/zh/latest/doc/can/can.html" TargetMode="External"/><Relationship Id="rId23" Type="http://schemas.openxmlformats.org/officeDocument/2006/relationships/hyperlink" Target="https://github.com/LubanCat/manifests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iki.lckfb.com/zh-hans/linux-docs-tspi3-rk3576/linux-driver-Basics/kernel-driver-intro/kernel-source-intro.html" TargetMode="External"/><Relationship Id="rId19" Type="http://schemas.openxmlformats.org/officeDocument/2006/relationships/hyperlink" Target="https://doc.embedfire.com/linux/rk3576/quick_start/zh/latest/doc/rs485/rs485.html" TargetMode="External"/><Relationship Id="rId4" Type="http://schemas.openxmlformats.org/officeDocument/2006/relationships/hyperlink" Target="https://wiki.lckfb.com/zh-hans/tspi-3-rk3576/system-development-compilation/ubuntu24/" TargetMode="External"/><Relationship Id="rId9" Type="http://schemas.openxmlformats.org/officeDocument/2006/relationships/hyperlink" Target="https://wiki.lckfb.com/zh-hans/tspi-3-rk3576/hardware-gpio/taishanpi-3m/v1-0.html" TargetMode="External"/><Relationship Id="rId14" Type="http://schemas.openxmlformats.org/officeDocument/2006/relationships/hyperlink" Target="https://doc.embedfire.com/linux/rk3576/quick_start/zh/latest/doc/lubancat/lubancat3.html" TargetMode="External"/><Relationship Id="rId22" Type="http://schemas.openxmlformats.org/officeDocument/2006/relationships/hyperlink" Target="https://doc.embedfire.com/linux/rk356x/build_and_deploy/zh/latest/building_image/building_kernel/building_kernel.html" TargetMode="External"/><Relationship Id="rId27" Type="http://schemas.openxmlformats.org/officeDocument/2006/relationships/hyperlink" Target="https://doc.embedfire.com/linux/rk3576/quick_start/zh/latest/doc/flash_img/flash_im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E27" sqref="E27"/>
    </sheetView>
  </sheetViews>
  <sheetFormatPr defaultRowHeight="14"/>
  <cols>
    <col min="1" max="1" width="10" customWidth="1"/>
    <col min="2" max="2" width="22" customWidth="1"/>
    <col min="3" max="3" width="14" customWidth="1"/>
    <col min="4" max="4" width="30" customWidth="1"/>
    <col min="5" max="5" width="62" customWidth="1"/>
    <col min="6" max="6" width="48" customWidth="1"/>
    <col min="7" max="7" width="10" customWidth="1"/>
    <col min="8" max="8" width="13" customWidth="1"/>
  </cols>
  <sheetData>
    <row r="1" spans="1:8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>
      <c r="A2" s="4" t="s">
        <v>8</v>
      </c>
      <c r="B2" s="4" t="s">
        <v>9</v>
      </c>
      <c r="C2" s="4" t="s">
        <v>10</v>
      </c>
      <c r="D2" s="4" t="s">
        <v>11</v>
      </c>
      <c r="E2" s="6" t="s">
        <v>130</v>
      </c>
      <c r="F2" s="4" t="s">
        <v>12</v>
      </c>
      <c r="G2" s="4" t="s">
        <v>13</v>
      </c>
      <c r="H2" s="4" t="s">
        <v>14</v>
      </c>
    </row>
    <row r="3" spans="1:8" ht="28" customHeight="1">
      <c r="A3" s="4" t="s">
        <v>8</v>
      </c>
      <c r="B3" s="4" t="s">
        <v>9</v>
      </c>
      <c r="C3" s="4" t="s">
        <v>15</v>
      </c>
      <c r="D3" s="4" t="s">
        <v>16</v>
      </c>
      <c r="E3" s="6" t="s">
        <v>138</v>
      </c>
      <c r="F3" s="4" t="s">
        <v>17</v>
      </c>
      <c r="G3" s="4" t="s">
        <v>13</v>
      </c>
      <c r="H3" s="4" t="s">
        <v>14</v>
      </c>
    </row>
    <row r="4" spans="1:8" ht="28" customHeight="1">
      <c r="A4" s="4" t="s">
        <v>8</v>
      </c>
      <c r="B4" s="4" t="s">
        <v>9</v>
      </c>
      <c r="C4" s="4" t="s">
        <v>15</v>
      </c>
      <c r="D4" s="4" t="s">
        <v>18</v>
      </c>
      <c r="E4" s="6" t="s">
        <v>137</v>
      </c>
      <c r="F4" s="4" t="s">
        <v>19</v>
      </c>
      <c r="G4" s="4" t="s">
        <v>13</v>
      </c>
      <c r="H4" s="4" t="s">
        <v>14</v>
      </c>
    </row>
    <row r="5" spans="1:8" ht="28" customHeight="1">
      <c r="A5" s="4" t="s">
        <v>8</v>
      </c>
      <c r="B5" s="4" t="s">
        <v>9</v>
      </c>
      <c r="C5" s="4" t="s">
        <v>15</v>
      </c>
      <c r="D5" s="4" t="s">
        <v>20</v>
      </c>
      <c r="E5" s="4" t="s">
        <v>21</v>
      </c>
      <c r="F5" s="4" t="s">
        <v>22</v>
      </c>
      <c r="G5" s="4" t="s">
        <v>13</v>
      </c>
      <c r="H5" s="4" t="s">
        <v>14</v>
      </c>
    </row>
    <row r="6" spans="1:8" ht="28" customHeight="1">
      <c r="A6" s="4" t="s">
        <v>8</v>
      </c>
      <c r="B6" s="4" t="s">
        <v>9</v>
      </c>
      <c r="C6" s="4" t="s">
        <v>23</v>
      </c>
      <c r="D6" s="4" t="s">
        <v>24</v>
      </c>
      <c r="E6" s="6" t="s">
        <v>135</v>
      </c>
      <c r="F6" s="4" t="s">
        <v>25</v>
      </c>
      <c r="G6" s="4" t="s">
        <v>13</v>
      </c>
      <c r="H6" s="4" t="s">
        <v>14</v>
      </c>
    </row>
    <row r="7" spans="1:8" ht="28" customHeight="1">
      <c r="A7" s="4" t="s">
        <v>8</v>
      </c>
      <c r="B7" s="4" t="s">
        <v>9</v>
      </c>
      <c r="C7" s="4" t="s">
        <v>26</v>
      </c>
      <c r="D7" s="4" t="s">
        <v>27</v>
      </c>
      <c r="E7" s="6" t="s">
        <v>136</v>
      </c>
      <c r="F7" s="4" t="s">
        <v>28</v>
      </c>
      <c r="G7" s="4" t="s">
        <v>29</v>
      </c>
      <c r="H7" s="4" t="s">
        <v>14</v>
      </c>
    </row>
    <row r="8" spans="1:8" ht="28" customHeight="1">
      <c r="A8" s="4" t="s">
        <v>8</v>
      </c>
      <c r="B8" s="4" t="s">
        <v>9</v>
      </c>
      <c r="C8" s="4" t="s">
        <v>30</v>
      </c>
      <c r="D8" s="4" t="s">
        <v>140</v>
      </c>
      <c r="E8" s="6" t="s">
        <v>131</v>
      </c>
      <c r="F8" s="4" t="s">
        <v>31</v>
      </c>
      <c r="G8" s="4" t="s">
        <v>13</v>
      </c>
      <c r="H8" s="4" t="s">
        <v>14</v>
      </c>
    </row>
    <row r="9" spans="1:8" ht="28" customHeight="1">
      <c r="A9" s="4"/>
      <c r="B9" s="4"/>
      <c r="C9" s="4"/>
      <c r="D9" s="4" t="s">
        <v>141</v>
      </c>
      <c r="E9" s="6" t="s">
        <v>139</v>
      </c>
      <c r="F9" s="4"/>
      <c r="G9" s="4"/>
      <c r="H9" s="4"/>
    </row>
    <row r="10" spans="1:8" ht="28" customHeight="1">
      <c r="A10" s="4" t="s">
        <v>8</v>
      </c>
      <c r="B10" s="4" t="s">
        <v>9</v>
      </c>
      <c r="C10" s="4" t="s">
        <v>30</v>
      </c>
      <c r="D10" s="4" t="s">
        <v>32</v>
      </c>
      <c r="E10" s="6" t="s">
        <v>132</v>
      </c>
      <c r="F10" s="4" t="s">
        <v>33</v>
      </c>
      <c r="G10" s="4" t="s">
        <v>29</v>
      </c>
      <c r="H10" s="4" t="s">
        <v>14</v>
      </c>
    </row>
    <row r="11" spans="1:8" ht="28" customHeight="1">
      <c r="A11" s="4" t="s">
        <v>8</v>
      </c>
      <c r="B11" s="4" t="s">
        <v>9</v>
      </c>
      <c r="C11" s="4" t="s">
        <v>34</v>
      </c>
      <c r="D11" s="4" t="s">
        <v>35</v>
      </c>
      <c r="E11" s="6" t="s">
        <v>133</v>
      </c>
      <c r="F11" s="4" t="s">
        <v>36</v>
      </c>
      <c r="G11" s="4" t="s">
        <v>29</v>
      </c>
      <c r="H11" s="4" t="s">
        <v>14</v>
      </c>
    </row>
    <row r="12" spans="1:8" ht="28" customHeight="1">
      <c r="A12" s="4" t="s">
        <v>8</v>
      </c>
      <c r="B12" s="4" t="s">
        <v>9</v>
      </c>
      <c r="C12" s="4" t="s">
        <v>37</v>
      </c>
      <c r="D12" s="4" t="s">
        <v>38</v>
      </c>
      <c r="E12" s="6" t="s">
        <v>134</v>
      </c>
      <c r="F12" s="4" t="s">
        <v>39</v>
      </c>
      <c r="G12" s="4" t="s">
        <v>13</v>
      </c>
      <c r="H12" s="4" t="s">
        <v>14</v>
      </c>
    </row>
    <row r="13" spans="1:8" ht="28" customHeight="1">
      <c r="A13" s="4" t="s">
        <v>8</v>
      </c>
      <c r="B13" s="4" t="s">
        <v>9</v>
      </c>
      <c r="C13" s="4" t="s">
        <v>40</v>
      </c>
      <c r="D13" s="4" t="s">
        <v>41</v>
      </c>
      <c r="E13" s="6" t="s">
        <v>142</v>
      </c>
      <c r="F13" s="4" t="s">
        <v>42</v>
      </c>
      <c r="G13" s="4" t="s">
        <v>29</v>
      </c>
      <c r="H13" s="4" t="s">
        <v>14</v>
      </c>
    </row>
    <row r="14" spans="1:8" ht="28" customHeight="1">
      <c r="A14" s="4" t="s">
        <v>8</v>
      </c>
      <c r="B14" s="4" t="s">
        <v>9</v>
      </c>
      <c r="C14" s="4" t="s">
        <v>43</v>
      </c>
      <c r="D14" s="4" t="s">
        <v>44</v>
      </c>
      <c r="E14" s="6" t="s">
        <v>143</v>
      </c>
      <c r="F14" s="4" t="s">
        <v>45</v>
      </c>
      <c r="G14" s="4" t="s">
        <v>46</v>
      </c>
      <c r="H14" s="4" t="s">
        <v>14</v>
      </c>
    </row>
    <row r="15" spans="1:8" ht="28" customHeight="1">
      <c r="A15" s="4" t="s">
        <v>47</v>
      </c>
      <c r="B15" s="4" t="s">
        <v>48</v>
      </c>
      <c r="C15" s="4" t="s">
        <v>10</v>
      </c>
      <c r="D15" s="4" t="s">
        <v>49</v>
      </c>
      <c r="E15" s="6" t="s">
        <v>144</v>
      </c>
      <c r="F15" s="4" t="s">
        <v>50</v>
      </c>
      <c r="G15" s="4" t="s">
        <v>13</v>
      </c>
      <c r="H15" s="4" t="s">
        <v>14</v>
      </c>
    </row>
    <row r="16" spans="1:8" ht="28" customHeight="1">
      <c r="A16" s="4" t="s">
        <v>47</v>
      </c>
      <c r="B16" s="4" t="s">
        <v>48</v>
      </c>
      <c r="C16" s="4" t="s">
        <v>15</v>
      </c>
      <c r="D16" s="4" t="s">
        <v>51</v>
      </c>
      <c r="E16" s="6" t="s">
        <v>145</v>
      </c>
      <c r="F16" s="4" t="s">
        <v>52</v>
      </c>
      <c r="G16" s="4" t="s">
        <v>13</v>
      </c>
      <c r="H16" s="4" t="s">
        <v>14</v>
      </c>
    </row>
    <row r="17" spans="1:8" ht="28" customHeight="1">
      <c r="A17" s="4" t="s">
        <v>47</v>
      </c>
      <c r="B17" s="4" t="s">
        <v>48</v>
      </c>
      <c r="C17" s="4" t="s">
        <v>53</v>
      </c>
      <c r="D17" s="4" t="s">
        <v>54</v>
      </c>
      <c r="E17" s="6" t="s">
        <v>147</v>
      </c>
      <c r="F17" s="4" t="s">
        <v>55</v>
      </c>
      <c r="G17" s="4" t="s">
        <v>13</v>
      </c>
      <c r="H17" s="4" t="s">
        <v>14</v>
      </c>
    </row>
    <row r="18" spans="1:8" ht="28" customHeight="1">
      <c r="A18" s="4" t="s">
        <v>47</v>
      </c>
      <c r="B18" s="4" t="s">
        <v>48</v>
      </c>
      <c r="C18" s="4" t="s">
        <v>56</v>
      </c>
      <c r="D18" s="4" t="s">
        <v>57</v>
      </c>
      <c r="E18" s="6" t="s">
        <v>146</v>
      </c>
      <c r="F18" s="4" t="s">
        <v>58</v>
      </c>
      <c r="G18" s="4" t="s">
        <v>13</v>
      </c>
      <c r="H18" s="4" t="s">
        <v>14</v>
      </c>
    </row>
    <row r="19" spans="1:8" ht="28" customHeight="1">
      <c r="A19" s="4" t="s">
        <v>47</v>
      </c>
      <c r="B19" s="4" t="s">
        <v>48</v>
      </c>
      <c r="C19" s="4" t="s">
        <v>59</v>
      </c>
      <c r="D19" s="4" t="s">
        <v>60</v>
      </c>
      <c r="E19" s="6" t="s">
        <v>148</v>
      </c>
      <c r="F19" s="4" t="s">
        <v>61</v>
      </c>
      <c r="G19" s="4" t="s">
        <v>13</v>
      </c>
      <c r="H19" s="4" t="s">
        <v>14</v>
      </c>
    </row>
    <row r="20" spans="1:8" ht="28" customHeight="1">
      <c r="A20" s="4" t="s">
        <v>47</v>
      </c>
      <c r="B20" s="4" t="s">
        <v>62</v>
      </c>
      <c r="C20" s="4" t="s">
        <v>63</v>
      </c>
      <c r="D20" s="4" t="s">
        <v>64</v>
      </c>
      <c r="E20" s="6" t="s">
        <v>149</v>
      </c>
      <c r="F20" s="4" t="s">
        <v>65</v>
      </c>
      <c r="G20" s="4" t="s">
        <v>29</v>
      </c>
      <c r="H20" s="4" t="s">
        <v>14</v>
      </c>
    </row>
    <row r="21" spans="1:8" ht="28" customHeight="1">
      <c r="A21" s="4" t="s">
        <v>47</v>
      </c>
      <c r="B21" s="4" t="s">
        <v>62</v>
      </c>
      <c r="C21" s="4" t="s">
        <v>66</v>
      </c>
      <c r="D21" s="4" t="s">
        <v>67</v>
      </c>
      <c r="E21" s="6" t="s">
        <v>150</v>
      </c>
      <c r="F21" s="4" t="s">
        <v>68</v>
      </c>
      <c r="G21" s="4" t="s">
        <v>13</v>
      </c>
      <c r="H21" s="4" t="s">
        <v>14</v>
      </c>
    </row>
    <row r="22" spans="1:8" ht="28" customHeight="1">
      <c r="A22" s="4" t="s">
        <v>47</v>
      </c>
      <c r="B22" s="4" t="s">
        <v>48</v>
      </c>
      <c r="C22" s="4" t="s">
        <v>40</v>
      </c>
      <c r="D22" s="4" t="s">
        <v>69</v>
      </c>
      <c r="E22" s="6" t="s">
        <v>152</v>
      </c>
      <c r="F22" s="4" t="s">
        <v>70</v>
      </c>
      <c r="G22" s="4" t="s">
        <v>13</v>
      </c>
      <c r="H22" s="4" t="s">
        <v>14</v>
      </c>
    </row>
    <row r="23" spans="1:8" ht="28" customHeight="1">
      <c r="A23" s="4" t="s">
        <v>47</v>
      </c>
      <c r="B23" s="4" t="s">
        <v>48</v>
      </c>
      <c r="C23" s="4" t="s">
        <v>40</v>
      </c>
      <c r="D23" s="4" t="s">
        <v>71</v>
      </c>
      <c r="E23" s="6" t="s">
        <v>151</v>
      </c>
      <c r="F23" s="4" t="s">
        <v>72</v>
      </c>
      <c r="G23" s="4" t="s">
        <v>29</v>
      </c>
      <c r="H23" s="4" t="s">
        <v>14</v>
      </c>
    </row>
    <row r="24" spans="1:8" ht="28" customHeight="1">
      <c r="A24" s="4" t="s">
        <v>47</v>
      </c>
      <c r="B24" s="4" t="s">
        <v>48</v>
      </c>
      <c r="C24" s="4" t="s">
        <v>73</v>
      </c>
      <c r="D24" s="4" t="s">
        <v>74</v>
      </c>
      <c r="E24" s="6" t="s">
        <v>153</v>
      </c>
      <c r="F24" s="4" t="s">
        <v>75</v>
      </c>
      <c r="G24" s="4" t="s">
        <v>13</v>
      </c>
      <c r="H24" s="4" t="s">
        <v>14</v>
      </c>
    </row>
    <row r="25" spans="1:8" ht="28" customHeight="1">
      <c r="A25" s="4" t="s">
        <v>47</v>
      </c>
      <c r="B25" s="4" t="s">
        <v>48</v>
      </c>
      <c r="C25" s="4" t="s">
        <v>73</v>
      </c>
      <c r="D25" s="4" t="s">
        <v>76</v>
      </c>
      <c r="E25" s="6" t="s">
        <v>155</v>
      </c>
      <c r="F25" s="4" t="s">
        <v>77</v>
      </c>
      <c r="G25" s="4" t="s">
        <v>13</v>
      </c>
      <c r="H25" s="4" t="s">
        <v>14</v>
      </c>
    </row>
    <row r="26" spans="1:8" ht="28" customHeight="1">
      <c r="A26" s="4" t="s">
        <v>47</v>
      </c>
      <c r="B26" s="4" t="s">
        <v>78</v>
      </c>
      <c r="C26" s="4" t="s">
        <v>79</v>
      </c>
      <c r="D26" s="4" t="s">
        <v>80</v>
      </c>
      <c r="E26" s="6" t="s">
        <v>154</v>
      </c>
      <c r="F26" s="4" t="s">
        <v>81</v>
      </c>
      <c r="G26" s="4" t="s">
        <v>29</v>
      </c>
      <c r="H26" s="4" t="s">
        <v>14</v>
      </c>
    </row>
    <row r="27" spans="1:8" ht="28" customHeight="1">
      <c r="A27" s="4" t="s">
        <v>47</v>
      </c>
      <c r="B27" s="4" t="s">
        <v>48</v>
      </c>
      <c r="C27" s="4" t="s">
        <v>82</v>
      </c>
      <c r="D27" s="4" t="s">
        <v>83</v>
      </c>
      <c r="E27" s="6" t="s">
        <v>157</v>
      </c>
      <c r="F27" s="4" t="s">
        <v>84</v>
      </c>
      <c r="G27" s="4" t="s">
        <v>13</v>
      </c>
      <c r="H27" s="4" t="s">
        <v>14</v>
      </c>
    </row>
    <row r="28" spans="1:8" ht="28" customHeight="1">
      <c r="A28" s="4" t="s">
        <v>47</v>
      </c>
      <c r="B28" s="4" t="s">
        <v>48</v>
      </c>
      <c r="C28" s="4" t="s">
        <v>85</v>
      </c>
      <c r="D28" s="4" t="s">
        <v>86</v>
      </c>
      <c r="E28" s="6" t="s">
        <v>156</v>
      </c>
      <c r="F28" s="4" t="s">
        <v>87</v>
      </c>
      <c r="G28" s="4" t="s">
        <v>13</v>
      </c>
      <c r="H28" s="4" t="s">
        <v>14</v>
      </c>
    </row>
    <row r="29" spans="1:8" ht="28" customHeight="1">
      <c r="A29" s="4" t="s">
        <v>47</v>
      </c>
      <c r="B29" s="4" t="s">
        <v>48</v>
      </c>
      <c r="C29" s="4" t="s">
        <v>88</v>
      </c>
      <c r="D29" s="4" t="s">
        <v>89</v>
      </c>
      <c r="E29" s="6" t="s">
        <v>158</v>
      </c>
      <c r="F29" s="4" t="s">
        <v>90</v>
      </c>
      <c r="G29" s="4" t="s">
        <v>29</v>
      </c>
      <c r="H29" s="4" t="s">
        <v>14</v>
      </c>
    </row>
  </sheetData>
  <phoneticPr fontId="6" type="noConversion"/>
  <conditionalFormatting sqref="G2:G29">
    <cfRule type="expression" dxfId="2" priority="1">
      <formula>G2="★★★★★"</formula>
    </cfRule>
    <cfRule type="expression" dxfId="1" priority="2">
      <formula>G2="★★★★☆"</formula>
    </cfRule>
    <cfRule type="expression" dxfId="0" priority="3">
      <formula>G2="★★★☆☆"</formula>
    </cfRule>
  </conditionalFormatting>
  <hyperlinks>
    <hyperlink ref="E2" r:id="rId1" xr:uid="{CC31B996-0357-49DA-944C-9FAEBADD5C61}"/>
    <hyperlink ref="E8" r:id="rId2" xr:uid="{1412C7F2-5FCF-4834-9A24-7C128947A39A}"/>
    <hyperlink ref="E10" r:id="rId3" xr:uid="{D5D1EEB6-693D-4F43-ABA5-672405A83C64}"/>
    <hyperlink ref="E11" r:id="rId4" xr:uid="{9F712501-FC8A-4FC9-9DA3-B06A8A6EB448}"/>
    <hyperlink ref="E12" r:id="rId5" xr:uid="{6A020855-2BE6-48DB-B193-DAE7D3F234D5}"/>
    <hyperlink ref="E6" r:id="rId6" xr:uid="{1483726F-B939-4F22-A12E-83977CD3B681}"/>
    <hyperlink ref="E7" r:id="rId7" xr:uid="{3C6702D4-3B80-4EE6-BF42-D9A2B5E1CC51}"/>
    <hyperlink ref="E4" r:id="rId8" xr:uid="{D04D5618-350D-47AA-87E1-C7DCFBEBB75D}"/>
    <hyperlink ref="E3" r:id="rId9" xr:uid="{3F0D6B72-0A87-4CDD-8E4A-5EAF7D5767EB}"/>
    <hyperlink ref="E9" r:id="rId10" xr:uid="{085FDFB4-C9C5-48CD-B4B9-7EB07EB8AA98}"/>
    <hyperlink ref="E13" r:id="rId11" xr:uid="{5636466D-E211-4D05-9F93-F7E2AFD437C7}"/>
    <hyperlink ref="E14" r:id="rId12" xr:uid="{FA063BFE-D1CE-40F2-ABF5-1624447F2930}"/>
    <hyperlink ref="E15" r:id="rId13" xr:uid="{EFB5A5A7-E578-4442-B81D-614A545CD53C}"/>
    <hyperlink ref="E16" r:id="rId14" xr:uid="{B576972E-B8C6-4F57-8FAD-63E1CBB01D71}"/>
    <hyperlink ref="E18" r:id="rId15" xr:uid="{155625C7-B1EE-4A6A-852C-4E1E489E1D18}"/>
    <hyperlink ref="E17" r:id="rId16" xr:uid="{C43DFF29-A193-4679-AFF5-2A61A061E2F8}"/>
    <hyperlink ref="E19" r:id="rId17" xr:uid="{8B3222EE-5303-4B98-BB92-FA0419616E0D}"/>
    <hyperlink ref="E20" r:id="rId18" xr:uid="{34682F94-8630-4D2C-8B2B-40CEC8F4A79F}"/>
    <hyperlink ref="E21" r:id="rId19" xr:uid="{014A2563-DA9E-4FB5-BFE6-038542FD98AD}"/>
    <hyperlink ref="E23" r:id="rId20" xr:uid="{F83724E9-1A49-4321-B54D-2AF285C940D2}"/>
    <hyperlink ref="E22" r:id="rId21" xr:uid="{6AD6427B-4C9F-47F6-893A-4763F98D417F}"/>
    <hyperlink ref="E24" r:id="rId22" xr:uid="{73DEAF10-C86E-4204-941C-EDB262DD79A1}"/>
    <hyperlink ref="E26" r:id="rId23" xr:uid="{A1D0BACD-A9DB-466B-9E40-042F12EEC2CC}"/>
    <hyperlink ref="E25" r:id="rId24" xr:uid="{903B2A16-6656-4515-BC91-C001FF491AFD}"/>
    <hyperlink ref="E28" r:id="rId25" xr:uid="{4621CDA8-CB7B-4228-9645-4C594D32A4DE}"/>
    <hyperlink ref="E27" r:id="rId26" xr:uid="{4449622A-01AC-49A9-9FDB-CC8FA7CD4832}"/>
    <hyperlink ref="E29" r:id="rId27" xr:uid="{97EB4047-0865-4CC0-AB7E-417BB3FB348F}"/>
  </hyperlinks>
  <pageMargins left="0.7" right="0.7" top="0.75" bottom="0.75" header="0.3" footer="0.3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"/>
  <cols>
    <col min="1" max="1" width="20" customWidth="1"/>
    <col min="2" max="2" width="32" customWidth="1"/>
    <col min="3" max="3" width="36" customWidth="1"/>
    <col min="4" max="4" width="12" customWidth="1"/>
    <col min="5" max="5" width="38" customWidth="1"/>
  </cols>
  <sheetData>
    <row r="1" spans="1:5" ht="22.65" customHeight="1">
      <c r="A1" s="7" t="s">
        <v>91</v>
      </c>
      <c r="B1" s="7"/>
      <c r="C1" s="7"/>
      <c r="D1" s="7"/>
      <c r="E1" s="7"/>
    </row>
    <row r="3" spans="1:5">
      <c r="A3" s="5" t="s">
        <v>92</v>
      </c>
      <c r="B3" s="5" t="s">
        <v>93</v>
      </c>
      <c r="C3" s="5" t="s">
        <v>94</v>
      </c>
      <c r="D3" s="5" t="s">
        <v>95</v>
      </c>
      <c r="E3" s="5" t="s">
        <v>96</v>
      </c>
    </row>
    <row r="4" spans="1:5" ht="28" customHeight="1">
      <c r="A4" s="4" t="s">
        <v>97</v>
      </c>
      <c r="B4" s="4" t="s">
        <v>16</v>
      </c>
      <c r="C4" s="4" t="s">
        <v>98</v>
      </c>
      <c r="D4" s="4" t="s">
        <v>99</v>
      </c>
      <c r="E4" s="4" t="s">
        <v>100</v>
      </c>
    </row>
    <row r="5" spans="1:5" ht="28" customHeight="1">
      <c r="A5" s="4" t="s">
        <v>101</v>
      </c>
      <c r="B5" s="4" t="s">
        <v>102</v>
      </c>
      <c r="C5" s="4" t="s">
        <v>103</v>
      </c>
      <c r="D5" s="4" t="s">
        <v>99</v>
      </c>
      <c r="E5" s="4" t="s">
        <v>104</v>
      </c>
    </row>
    <row r="6" spans="1:5" ht="28" customHeight="1">
      <c r="A6" s="4" t="s">
        <v>105</v>
      </c>
      <c r="B6" s="4" t="s">
        <v>106</v>
      </c>
      <c r="C6" s="4" t="s">
        <v>57</v>
      </c>
      <c r="D6" s="4" t="s">
        <v>47</v>
      </c>
      <c r="E6" s="4" t="s">
        <v>107</v>
      </c>
    </row>
    <row r="7" spans="1:5" ht="28" customHeight="1">
      <c r="A7" s="4" t="s">
        <v>108</v>
      </c>
      <c r="B7" s="4" t="s">
        <v>109</v>
      </c>
      <c r="C7" s="4" t="s">
        <v>110</v>
      </c>
      <c r="D7" s="4" t="s">
        <v>47</v>
      </c>
      <c r="E7" s="4" t="s">
        <v>111</v>
      </c>
    </row>
    <row r="8" spans="1:5" ht="28" customHeight="1">
      <c r="A8" s="4" t="s">
        <v>112</v>
      </c>
      <c r="B8" s="4" t="s">
        <v>113</v>
      </c>
      <c r="C8" s="4" t="s">
        <v>114</v>
      </c>
      <c r="D8" s="4" t="s">
        <v>47</v>
      </c>
      <c r="E8" s="4" t="s">
        <v>115</v>
      </c>
    </row>
    <row r="9" spans="1:5" ht="28" customHeight="1">
      <c r="A9" s="4" t="s">
        <v>116</v>
      </c>
      <c r="B9" s="4" t="s">
        <v>117</v>
      </c>
      <c r="C9" s="4" t="s">
        <v>118</v>
      </c>
      <c r="D9" s="4" t="s">
        <v>47</v>
      </c>
      <c r="E9" s="4" t="s">
        <v>119</v>
      </c>
    </row>
    <row r="10" spans="1:5" ht="28" customHeight="1">
      <c r="A10" s="4" t="s">
        <v>120</v>
      </c>
      <c r="B10" s="4" t="s">
        <v>38</v>
      </c>
      <c r="C10" s="4" t="s">
        <v>121</v>
      </c>
      <c r="D10" s="4" t="s">
        <v>122</v>
      </c>
      <c r="E10" s="4" t="s">
        <v>123</v>
      </c>
    </row>
    <row r="12" spans="1:5">
      <c r="A12" s="1" t="s">
        <v>124</v>
      </c>
      <c r="B12" s="1" t="s">
        <v>125</v>
      </c>
    </row>
    <row r="13" spans="1:5">
      <c r="A13" s="3" t="s">
        <v>126</v>
      </c>
      <c r="B13" s="3">
        <f>COUNTIF(资料网站!A:A,"立创")</f>
        <v>12</v>
      </c>
    </row>
    <row r="14" spans="1:5">
      <c r="A14" s="3" t="s">
        <v>127</v>
      </c>
      <c r="B14" s="3">
        <f>COUNTIF(资料网站!A:A,"野火")</f>
        <v>15</v>
      </c>
    </row>
    <row r="15" spans="1:5">
      <c r="A15" s="3" t="s">
        <v>128</v>
      </c>
      <c r="B15" s="3">
        <f>B13+B14</f>
        <v>27</v>
      </c>
    </row>
    <row r="17" spans="1:5">
      <c r="A17" s="8" t="s">
        <v>129</v>
      </c>
      <c r="B17" s="8"/>
      <c r="C17" s="8"/>
      <c r="D17" s="8"/>
      <c r="E17" s="8"/>
    </row>
    <row r="18" spans="1:5">
      <c r="A18" s="8"/>
      <c r="B18" s="8"/>
      <c r="C18" s="8"/>
      <c r="D18" s="8"/>
      <c r="E18" s="8"/>
    </row>
  </sheetData>
  <mergeCells count="2">
    <mergeCell ref="A1:E1"/>
    <mergeCell ref="A17:E1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资料网站</vt:lpstr>
      <vt:lpstr>快速导航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宇强 邱</cp:lastModifiedBy>
  <dcterms:modified xsi:type="dcterms:W3CDTF">2026-09-08T14:01:20Z</dcterms:modified>
</cp:coreProperties>
</file>